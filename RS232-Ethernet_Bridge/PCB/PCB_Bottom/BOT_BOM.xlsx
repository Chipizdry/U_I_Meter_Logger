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ytnypeut" sheetId="1" r:id="rId1"/>
  </sheets>
  <definedNames>
    <definedName name="_xlnm.Print_Titles" localSheetId="0">ytnypeut!$1:$1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<sst xmlns="http://schemas.openxmlformats.org/spreadsheetml/2006/main" count="173" uniqueCount="110">
  <si>
    <t>Comment</t>
  </si>
  <si>
    <t>Description</t>
  </si>
  <si>
    <t>Designator</t>
  </si>
  <si>
    <t>Footprint</t>
  </si>
  <si>
    <t>LibRef</t>
  </si>
  <si>
    <t>Quantity</t>
  </si>
  <si>
    <t>Model number</t>
  </si>
  <si>
    <t>Manufacturer</t>
  </si>
  <si>
    <t>Size</t>
  </si>
  <si>
    <t>Minimum quantity</t>
  </si>
  <si>
    <t>Unit price</t>
  </si>
  <si>
    <t>Total price</t>
  </si>
  <si>
    <t>0.1uF</t>
  </si>
  <si>
    <t>C18, C19, C20, C21</t>
  </si>
  <si>
    <t>CAP-0603</t>
  </si>
  <si>
    <t>CAP-NON-POLAR</t>
  </si>
  <si>
    <t>0603B104K500NT</t>
  </si>
  <si>
    <t>FH</t>
  </si>
  <si>
    <t>0603</t>
  </si>
  <si>
    <t>100nF</t>
  </si>
  <si>
    <t/>
  </si>
  <si>
    <t>C22, C24, C25, C26, C27</t>
  </si>
  <si>
    <t>330uF 25V</t>
  </si>
  <si>
    <t>C23</t>
  </si>
  <si>
    <t>CAP_SMD_Size_E</t>
  </si>
  <si>
    <t>CAP_POL_SMD</t>
  </si>
  <si>
    <t>RVT1E331M0810</t>
  </si>
  <si>
    <t>ROQANG</t>
  </si>
  <si>
    <t>SMD,D8xL10.2mm</t>
  </si>
  <si>
    <t>0.47uF</t>
  </si>
  <si>
    <t>C28</t>
  </si>
  <si>
    <t>CAP-0805</t>
  </si>
  <si>
    <t>CL10B474KA8NNNC</t>
  </si>
  <si>
    <t>SAMSUNG</t>
  </si>
  <si>
    <t>SS14</t>
  </si>
  <si>
    <t>D6</t>
  </si>
  <si>
    <t>DO-214-AC</t>
  </si>
  <si>
    <t>R+O</t>
  </si>
  <si>
    <t>DB9公头</t>
  </si>
  <si>
    <t>DB9</t>
  </si>
  <si>
    <t>DSUB-TH_DMR-9S</t>
  </si>
  <si>
    <t>DMR-9P</t>
  </si>
  <si>
    <t>D-DMR009PM-D002</t>
  </si>
  <si>
    <t>Ckmtw</t>
  </si>
  <si>
    <t>9P/弯插/公</t>
  </si>
  <si>
    <t>61300611821</t>
  </si>
  <si>
    <t>WR-PHD Socket Header, THT, Vertical, pitch 2.54mm, 1 Row, 6P</t>
  </si>
  <si>
    <t>J4, J5</t>
  </si>
  <si>
    <t>2.54-1*6P母</t>
  </si>
  <si>
    <t>BOOMELE</t>
  </si>
  <si>
    <t>1*6P=2.54mm</t>
  </si>
  <si>
    <t>691305340003</t>
  </si>
  <si>
    <t>WR-TBL Series 3053 Horizontal PCB Header, THT, pitch 3.81mm, 3p</t>
  </si>
  <si>
    <t>P1</t>
  </si>
  <si>
    <t>691305540003</t>
  </si>
  <si>
    <t>A508RC-3P0G36</t>
  </si>
  <si>
    <t>JXTCONN</t>
  </si>
  <si>
    <t>1*3P=5.08mm</t>
  </si>
  <si>
    <t>33R</t>
  </si>
  <si>
    <t>R14, R15</t>
  </si>
  <si>
    <t>RES-0603</t>
  </si>
  <si>
    <t>RES-CONST</t>
  </si>
  <si>
    <t>0603WAF330JT5E</t>
  </si>
  <si>
    <t>UNI-ROYAL</t>
  </si>
  <si>
    <t>10K</t>
  </si>
  <si>
    <t>R22, R23, R24, R25, R26, R30, R31, R34, R36</t>
  </si>
  <si>
    <t>0603WAF1002T5E</t>
  </si>
  <si>
    <t>100</t>
  </si>
  <si>
    <t>R27, R29</t>
  </si>
  <si>
    <t>0603WAF1003T5E</t>
  </si>
  <si>
    <t>Test_Point_PCB</t>
  </si>
  <si>
    <t>Test_Point</t>
  </si>
  <si>
    <t>TP6, TP7, TP8, TP9, TP10, TP11, TP12, TP14</t>
  </si>
  <si>
    <t>TP_PCB?</t>
  </si>
  <si>
    <t>TP13</t>
  </si>
  <si>
    <t>TMUX1574PWR</t>
  </si>
  <si>
    <t>U5</t>
  </si>
  <si>
    <t>TSSOP-16-A</t>
  </si>
  <si>
    <t>TI</t>
  </si>
  <si>
    <t>MAX3232</t>
  </si>
  <si>
    <t>U6</t>
  </si>
  <si>
    <t>SOIC-16-M</t>
  </si>
  <si>
    <t>MAX3232ESE+T</t>
  </si>
  <si>
    <t>ADI</t>
  </si>
  <si>
    <t>B1212S-3WR2</t>
  </si>
  <si>
    <t>U7</t>
  </si>
  <si>
    <t>EVISUN</t>
  </si>
  <si>
    <t>B0505S-1W</t>
  </si>
  <si>
    <t>U8</t>
  </si>
  <si>
    <t>B0505S-1WR3</t>
  </si>
  <si>
    <t>MAX485</t>
  </si>
  <si>
    <t>U9</t>
  </si>
  <si>
    <t>SOIC-8-MFG</t>
  </si>
  <si>
    <t>MAX485ESA+T</t>
  </si>
  <si>
    <t>ADUM1401BRWZ</t>
  </si>
  <si>
    <t>Quad Channel Digital Isolator, 2.5 KV rms Insulation Rating, 10 Mbps Data Rate, 50 ns Delay, Industrial, 16-pin SOIC (RW-16), Tube</t>
  </si>
  <si>
    <t>U10</t>
  </si>
  <si>
    <t>ADI-RW-16_M</t>
  </si>
  <si>
    <t>CMP-0534-00565-1</t>
  </si>
  <si>
    <t>ADUM1401BRWZ-RL</t>
  </si>
  <si>
    <t>P6SMB16CA</t>
  </si>
  <si>
    <t>ZD1, ZD2, ZD3</t>
  </si>
  <si>
    <t>DO-214AA</t>
  </si>
  <si>
    <t>PCB Design</t>
  </si>
  <si>
    <t>BOT(PCB)</t>
  </si>
  <si>
    <t>80*30mm</t>
  </si>
  <si>
    <t>SMT Stencil</t>
  </si>
  <si>
    <t>SMT  Welding</t>
  </si>
  <si>
    <t>RMB</t>
  </si>
  <si>
    <t>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</si>
</sst>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0;\-\$#,##0.000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quotePrefix="1">
      <alignment vertical="center"/>
    </xf>
    <xf numFmtId="0" fontId="0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L32" sqref="L32"/>
    </sheetView>
  </sheetViews>
  <sheetFormatPr defaultColWidth="9" defaultRowHeight="13.85"/>
  <cols>
    <col min="1" max="2" width="17.5398230088496" customWidth="1"/>
    <col min="3" max="3" width="29.5398230088496" customWidth="1"/>
    <col min="4" max="6" width="17.5398230088496" customWidth="1"/>
    <col min="7" max="7" width="23.0442477876106" customWidth="1"/>
    <col min="12" max="12" width="12.7964601769912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</row>
    <row r="2" spans="1:13">
      <c r="A2" s="9" t="s">
        <v>12</v>
      </c>
      <c r="B2" s="9" t="s">
        <v>12</v>
      </c>
      <c r="C2" s="9" t="s">
        <v>13</v>
      </c>
      <c r="D2" s="9" t="s">
        <v>14</v>
      </c>
      <c r="E2" s="9" t="s">
        <v>15</v>
      </c>
      <c r="F2" s="5">
        <v>4</v>
      </c>
      <c r="G2" s="6" t="s">
        <v>16</v>
      </c>
      <c r="H2" s="6" t="s">
        <v>17</v>
      </c>
      <c r="I2" s="10" t="s">
        <v>18</v>
      </c>
      <c r="J2" s="6">
        <v>100</v>
      </c>
      <c r="K2" s="6">
        <v>0.02</v>
      </c>
      <c r="L2" s="6">
        <f t="shared" ref="L2:L6" si="0">J2*K2</f>
        <v>2</v>
      </c>
      <c r="M2" s="4"/>
    </row>
    <row r="3" spans="1:13">
      <c r="A3" s="9" t="s">
        <v>19</v>
      </c>
      <c r="B3" s="9" t="s">
        <v>20</v>
      </c>
      <c r="C3" s="9" t="s">
        <v>21</v>
      </c>
      <c r="D3" s="9" t="s">
        <v>14</v>
      </c>
      <c r="E3" s="9" t="s">
        <v>15</v>
      </c>
      <c r="F3" s="5">
        <v>5</v>
      </c>
      <c r="G3" s="6" t="s">
        <v>16</v>
      </c>
      <c r="H3" s="6" t="s">
        <v>17</v>
      </c>
      <c r="I3" s="10" t="s">
        <v>18</v>
      </c>
      <c r="J3" s="6">
        <v>100</v>
      </c>
      <c r="K3" s="6">
        <v>0.02</v>
      </c>
      <c r="L3" s="6">
        <f t="shared" si="0"/>
        <v>2</v>
      </c>
      <c r="M3" s="4"/>
    </row>
    <row r="4" spans="1:13">
      <c r="A4" s="9" t="s">
        <v>22</v>
      </c>
      <c r="B4" s="9" t="s">
        <v>20</v>
      </c>
      <c r="C4" s="9" t="s">
        <v>23</v>
      </c>
      <c r="D4" s="9" t="s">
        <v>24</v>
      </c>
      <c r="E4" s="9" t="s">
        <v>25</v>
      </c>
      <c r="F4" s="5">
        <v>1</v>
      </c>
      <c r="G4" s="6" t="s">
        <v>26</v>
      </c>
      <c r="H4" s="6" t="s">
        <v>27</v>
      </c>
      <c r="I4" s="6" t="s">
        <v>28</v>
      </c>
      <c r="J4" s="6">
        <v>10</v>
      </c>
      <c r="K4" s="6">
        <v>0.5</v>
      </c>
      <c r="L4" s="6">
        <f t="shared" si="0"/>
        <v>5</v>
      </c>
      <c r="M4" s="4"/>
    </row>
    <row r="5" spans="1:13">
      <c r="A5" s="9" t="s">
        <v>29</v>
      </c>
      <c r="B5" s="9" t="s">
        <v>20</v>
      </c>
      <c r="C5" s="9" t="s">
        <v>30</v>
      </c>
      <c r="D5" s="9" t="s">
        <v>31</v>
      </c>
      <c r="E5" s="9" t="s">
        <v>15</v>
      </c>
      <c r="F5" s="5">
        <v>1</v>
      </c>
      <c r="G5" s="6" t="s">
        <v>32</v>
      </c>
      <c r="H5" s="6" t="s">
        <v>33</v>
      </c>
      <c r="I5" s="10" t="s">
        <v>18</v>
      </c>
      <c r="J5" s="6">
        <v>100</v>
      </c>
      <c r="K5" s="6">
        <v>0.06</v>
      </c>
      <c r="L5" s="6">
        <f t="shared" si="0"/>
        <v>6</v>
      </c>
      <c r="M5" s="4"/>
    </row>
    <row r="6" spans="1:13">
      <c r="A6" s="9" t="s">
        <v>34</v>
      </c>
      <c r="B6" s="9" t="s">
        <v>20</v>
      </c>
      <c r="C6" s="9" t="s">
        <v>35</v>
      </c>
      <c r="D6" s="9" t="s">
        <v>36</v>
      </c>
      <c r="E6" s="9" t="s">
        <v>34</v>
      </c>
      <c r="F6" s="5">
        <v>1</v>
      </c>
      <c r="G6" s="6" t="s">
        <v>34</v>
      </c>
      <c r="H6" s="6" t="s">
        <v>37</v>
      </c>
      <c r="I6" s="10" t="s">
        <v>36</v>
      </c>
      <c r="J6" s="6">
        <v>10</v>
      </c>
      <c r="K6" s="6">
        <v>0.2</v>
      </c>
      <c r="L6" s="6">
        <f t="shared" si="0"/>
        <v>2</v>
      </c>
      <c r="M6" s="4"/>
    </row>
    <row r="7" spans="1:13">
      <c r="A7" s="9" t="s">
        <v>38</v>
      </c>
      <c r="B7" s="9" t="s">
        <v>20</v>
      </c>
      <c r="C7" s="9" t="s">
        <v>39</v>
      </c>
      <c r="D7" s="9" t="s">
        <v>40</v>
      </c>
      <c r="E7" s="9" t="s">
        <v>41</v>
      </c>
      <c r="F7" s="5">
        <v>1</v>
      </c>
      <c r="G7" t="s">
        <v>42</v>
      </c>
      <c r="H7" t="s">
        <v>43</v>
      </c>
      <c r="I7" t="s">
        <v>44</v>
      </c>
      <c r="J7">
        <v>10</v>
      </c>
      <c r="K7">
        <v>2.5</v>
      </c>
      <c r="L7" s="6">
        <f t="shared" ref="L7:L12" si="1">J7*K7</f>
        <v>25</v>
      </c>
      <c r="M7" s="4"/>
    </row>
    <row r="8" spans="1:13">
      <c r="A8" s="9" t="s">
        <v>45</v>
      </c>
      <c r="B8" s="9" t="s">
        <v>46</v>
      </c>
      <c r="C8" s="9" t="s">
        <v>47</v>
      </c>
      <c r="D8" s="9" t="s">
        <v>45</v>
      </c>
      <c r="E8" s="9" t="s">
        <v>45</v>
      </c>
      <c r="F8" s="5">
        <v>2</v>
      </c>
      <c r="G8" s="6" t="s">
        <v>48</v>
      </c>
      <c r="H8" s="6" t="s">
        <v>49</v>
      </c>
      <c r="I8" s="6" t="s">
        <v>50</v>
      </c>
      <c r="J8" s="6">
        <v>10</v>
      </c>
      <c r="K8" s="6">
        <v>1</v>
      </c>
      <c r="L8" s="6">
        <f t="shared" si="1"/>
        <v>10</v>
      </c>
      <c r="M8" s="4"/>
    </row>
    <row r="9" spans="1:13">
      <c r="A9" s="9" t="s">
        <v>51</v>
      </c>
      <c r="B9" s="9" t="s">
        <v>52</v>
      </c>
      <c r="C9" s="9" t="s">
        <v>53</v>
      </c>
      <c r="D9" s="9" t="s">
        <v>54</v>
      </c>
      <c r="E9" s="9" t="s">
        <v>51</v>
      </c>
      <c r="F9" s="5">
        <v>1</v>
      </c>
      <c r="G9" s="6" t="s">
        <v>55</v>
      </c>
      <c r="H9" s="6" t="s">
        <v>56</v>
      </c>
      <c r="I9" s="6" t="s">
        <v>57</v>
      </c>
      <c r="J9" s="6">
        <v>10</v>
      </c>
      <c r="K9" s="6">
        <v>0.5</v>
      </c>
      <c r="L9" s="6">
        <f t="shared" si="1"/>
        <v>5</v>
      </c>
      <c r="M9" s="4"/>
    </row>
    <row r="10" spans="1:13">
      <c r="A10" s="9" t="s">
        <v>58</v>
      </c>
      <c r="B10" s="9" t="s">
        <v>58</v>
      </c>
      <c r="C10" s="9" t="s">
        <v>59</v>
      </c>
      <c r="D10" s="9" t="s">
        <v>60</v>
      </c>
      <c r="E10" s="9" t="s">
        <v>61</v>
      </c>
      <c r="F10" s="5">
        <v>2</v>
      </c>
      <c r="G10" s="6" t="s">
        <v>62</v>
      </c>
      <c r="H10" s="6" t="s">
        <v>63</v>
      </c>
      <c r="I10" s="10" t="s">
        <v>18</v>
      </c>
      <c r="J10" s="6">
        <v>100</v>
      </c>
      <c r="K10" s="6">
        <v>0.01</v>
      </c>
      <c r="L10" s="6">
        <f t="shared" si="1"/>
        <v>1</v>
      </c>
      <c r="M10" s="4"/>
    </row>
    <row r="11" spans="1:13">
      <c r="A11" s="9" t="s">
        <v>64</v>
      </c>
      <c r="B11" s="9" t="s">
        <v>64</v>
      </c>
      <c r="C11" s="9" t="s">
        <v>65</v>
      </c>
      <c r="D11" s="9" t="s">
        <v>60</v>
      </c>
      <c r="E11" s="9" t="s">
        <v>61</v>
      </c>
      <c r="F11" s="5">
        <v>9</v>
      </c>
      <c r="G11" s="6" t="s">
        <v>66</v>
      </c>
      <c r="H11" s="6" t="s">
        <v>63</v>
      </c>
      <c r="I11" s="10" t="s">
        <v>18</v>
      </c>
      <c r="J11" s="6">
        <v>100</v>
      </c>
      <c r="K11" s="6">
        <v>0.01</v>
      </c>
      <c r="L11" s="6">
        <f t="shared" si="1"/>
        <v>1</v>
      </c>
      <c r="M11" s="4"/>
    </row>
    <row r="12" spans="1:13">
      <c r="A12" s="9" t="s">
        <v>67</v>
      </c>
      <c r="B12" s="9" t="s">
        <v>67</v>
      </c>
      <c r="C12" s="9" t="s">
        <v>68</v>
      </c>
      <c r="D12" s="9" t="s">
        <v>60</v>
      </c>
      <c r="E12" s="9" t="s">
        <v>61</v>
      </c>
      <c r="F12" s="5">
        <v>2</v>
      </c>
      <c r="G12" s="6" t="s">
        <v>69</v>
      </c>
      <c r="H12" s="6" t="s">
        <v>63</v>
      </c>
      <c r="I12" s="10" t="s">
        <v>18</v>
      </c>
      <c r="J12" s="6">
        <v>100</v>
      </c>
      <c r="K12" s="6">
        <v>0.01</v>
      </c>
      <c r="L12" s="6">
        <f t="shared" si="1"/>
        <v>1</v>
      </c>
      <c r="M12" s="4"/>
    </row>
    <row r="13" spans="1:13">
      <c r="A13" s="9" t="s">
        <v>70</v>
      </c>
      <c r="B13" s="9" t="s">
        <v>71</v>
      </c>
      <c r="C13" s="9" t="s">
        <v>72</v>
      </c>
      <c r="D13" s="9" t="s">
        <v>71</v>
      </c>
      <c r="E13" s="9" t="s">
        <v>73</v>
      </c>
      <c r="F13" s="5">
        <v>8</v>
      </c>
      <c r="L13" s="6">
        <f t="shared" ref="L13:L21" si="2">J13*K13</f>
        <v>0</v>
      </c>
      <c r="M13" s="4"/>
    </row>
    <row r="14" spans="1:13">
      <c r="A14" s="9" t="s">
        <v>20</v>
      </c>
      <c r="B14" s="9" t="s">
        <v>71</v>
      </c>
      <c r="C14" s="9" t="s">
        <v>74</v>
      </c>
      <c r="D14" s="9" t="s">
        <v>71</v>
      </c>
      <c r="E14" s="9" t="s">
        <v>73</v>
      </c>
      <c r="F14" s="5">
        <v>1</v>
      </c>
      <c r="L14" s="6">
        <f t="shared" si="2"/>
        <v>0</v>
      </c>
      <c r="M14" s="4"/>
    </row>
    <row r="15" spans="1:13">
      <c r="A15" s="9" t="s">
        <v>75</v>
      </c>
      <c r="B15" s="9" t="s">
        <v>20</v>
      </c>
      <c r="C15" s="9" t="s">
        <v>76</v>
      </c>
      <c r="D15" s="9" t="s">
        <v>77</v>
      </c>
      <c r="E15" s="9" t="s">
        <v>75</v>
      </c>
      <c r="F15" s="5">
        <v>1</v>
      </c>
      <c r="G15" s="10" t="s">
        <v>75</v>
      </c>
      <c r="H15" s="6" t="s">
        <v>78</v>
      </c>
      <c r="I15" s="10" t="s">
        <v>77</v>
      </c>
      <c r="J15" s="6">
        <v>10</v>
      </c>
      <c r="K15" s="6">
        <v>3</v>
      </c>
      <c r="L15" s="6">
        <f t="shared" si="2"/>
        <v>30</v>
      </c>
      <c r="M15" s="4"/>
    </row>
    <row r="16" spans="1:13">
      <c r="A16" s="9" t="s">
        <v>79</v>
      </c>
      <c r="B16" s="9" t="s">
        <v>20</v>
      </c>
      <c r="C16" s="9" t="s">
        <v>80</v>
      </c>
      <c r="D16" s="9" t="s">
        <v>81</v>
      </c>
      <c r="E16" s="9" t="s">
        <v>79</v>
      </c>
      <c r="F16" s="5">
        <v>1</v>
      </c>
      <c r="G16" s="6" t="s">
        <v>82</v>
      </c>
      <c r="H16" s="6" t="s">
        <v>83</v>
      </c>
      <c r="I16" s="10" t="s">
        <v>81</v>
      </c>
      <c r="J16" s="6">
        <v>10</v>
      </c>
      <c r="K16" s="6">
        <v>5.5</v>
      </c>
      <c r="L16" s="6">
        <f t="shared" si="2"/>
        <v>55</v>
      </c>
      <c r="M16" s="4"/>
    </row>
    <row r="17" spans="1:13">
      <c r="A17" s="9" t="s">
        <v>84</v>
      </c>
      <c r="B17" s="9" t="s">
        <v>20</v>
      </c>
      <c r="C17" s="9" t="s">
        <v>85</v>
      </c>
      <c r="D17" s="9" t="s">
        <v>84</v>
      </c>
      <c r="E17" s="9" t="s">
        <v>84</v>
      </c>
      <c r="F17" s="5">
        <v>1</v>
      </c>
      <c r="G17" s="10" t="s">
        <v>84</v>
      </c>
      <c r="H17" s="6" t="s">
        <v>86</v>
      </c>
      <c r="I17" s="10" t="s">
        <v>84</v>
      </c>
      <c r="J17" s="6">
        <v>10</v>
      </c>
      <c r="K17" s="6">
        <v>12</v>
      </c>
      <c r="L17" s="6">
        <f t="shared" si="2"/>
        <v>120</v>
      </c>
      <c r="M17" s="4"/>
    </row>
    <row r="18" spans="1:13">
      <c r="A18" s="9" t="s">
        <v>87</v>
      </c>
      <c r="B18" s="9" t="s">
        <v>20</v>
      </c>
      <c r="C18" s="9" t="s">
        <v>88</v>
      </c>
      <c r="D18" s="9" t="s">
        <v>87</v>
      </c>
      <c r="E18" s="9" t="s">
        <v>87</v>
      </c>
      <c r="F18" s="5">
        <v>1</v>
      </c>
      <c r="G18" s="6" t="s">
        <v>89</v>
      </c>
      <c r="H18" s="6" t="s">
        <v>86</v>
      </c>
      <c r="I18" s="10" t="s">
        <v>87</v>
      </c>
      <c r="J18" s="6">
        <v>10</v>
      </c>
      <c r="K18" s="6">
        <v>4</v>
      </c>
      <c r="L18" s="6">
        <f t="shared" si="2"/>
        <v>40</v>
      </c>
      <c r="M18" s="4"/>
    </row>
    <row r="19" spans="1:13">
      <c r="A19" s="9" t="s">
        <v>90</v>
      </c>
      <c r="B19" s="9" t="s">
        <v>20</v>
      </c>
      <c r="C19" s="9" t="s">
        <v>91</v>
      </c>
      <c r="D19" s="9" t="s">
        <v>92</v>
      </c>
      <c r="E19" s="9" t="s">
        <v>90</v>
      </c>
      <c r="F19" s="5">
        <v>1</v>
      </c>
      <c r="G19" s="6" t="s">
        <v>93</v>
      </c>
      <c r="H19" s="6" t="s">
        <v>83</v>
      </c>
      <c r="I19" s="10" t="s">
        <v>92</v>
      </c>
      <c r="J19" s="6">
        <v>10</v>
      </c>
      <c r="K19" s="6">
        <v>5.5</v>
      </c>
      <c r="L19" s="6">
        <f t="shared" si="2"/>
        <v>55</v>
      </c>
      <c r="M19" s="4"/>
    </row>
    <row r="20" spans="1:13">
      <c r="A20" s="9" t="s">
        <v>94</v>
      </c>
      <c r="B20" s="9" t="s">
        <v>95</v>
      </c>
      <c r="C20" s="9" t="s">
        <v>96</v>
      </c>
      <c r="D20" s="9" t="s">
        <v>97</v>
      </c>
      <c r="E20" s="9" t="s">
        <v>98</v>
      </c>
      <c r="F20" s="5">
        <v>1</v>
      </c>
      <c r="G20" s="6" t="s">
        <v>99</v>
      </c>
      <c r="H20" s="6" t="s">
        <v>83</v>
      </c>
      <c r="I20" s="10" t="s">
        <v>97</v>
      </c>
      <c r="J20" s="6">
        <v>10</v>
      </c>
      <c r="K20" s="6">
        <v>20</v>
      </c>
      <c r="L20" s="6">
        <f t="shared" si="2"/>
        <v>200</v>
      </c>
      <c r="M20" s="4"/>
    </row>
    <row r="21" spans="1:13">
      <c r="A21" s="9" t="s">
        <v>100</v>
      </c>
      <c r="B21" s="9" t="s">
        <v>20</v>
      </c>
      <c r="C21" s="9" t="s">
        <v>101</v>
      </c>
      <c r="D21" s="9" t="s">
        <v>102</v>
      </c>
      <c r="E21" s="9" t="s">
        <v>100</v>
      </c>
      <c r="F21" s="5">
        <v>3</v>
      </c>
      <c r="G21" s="10" t="s">
        <v>100</v>
      </c>
      <c r="H21" s="6" t="s">
        <v>37</v>
      </c>
      <c r="I21" s="10" t="s">
        <v>102</v>
      </c>
      <c r="J21" s="6">
        <v>10</v>
      </c>
      <c r="K21" s="6">
        <v>0.3</v>
      </c>
      <c r="L21" s="6">
        <f t="shared" si="2"/>
        <v>3</v>
      </c>
      <c r="M21" s="4"/>
    </row>
    <row r="22" spans="1:13">
      <c r="A22" s="7" t="s">
        <v>103</v>
      </c>
      <c r="B22" s="4"/>
      <c r="C22" s="4"/>
      <c r="D22" s="4"/>
      <c r="E22" s="4"/>
      <c r="F22" s="5"/>
      <c r="G22" s="6"/>
      <c r="H22" s="6"/>
      <c r="I22" s="6"/>
      <c r="J22" s="6"/>
      <c r="K22" s="6"/>
      <c r="L22" s="6">
        <v>400</v>
      </c>
      <c r="M22" s="4"/>
    </row>
    <row r="23" spans="1:13">
      <c r="A23" s="4" t="s">
        <v>104</v>
      </c>
      <c r="B23" s="4"/>
      <c r="C23" s="4" t="s">
        <v>105</v>
      </c>
      <c r="D23" s="4"/>
      <c r="E23" s="4"/>
      <c r="F23" s="4">
        <v>5</v>
      </c>
      <c r="G23" s="4"/>
      <c r="H23" s="4"/>
      <c r="I23" s="4"/>
      <c r="J23" s="4"/>
      <c r="K23" s="4"/>
      <c r="L23" s="4">
        <v>100</v>
      </c>
      <c r="M23" s="4"/>
    </row>
    <row r="24" spans="1:13">
      <c r="A24" s="4" t="s">
        <v>106</v>
      </c>
      <c r="B24" s="4"/>
      <c r="C24" s="4"/>
      <c r="D24" s="4"/>
      <c r="E24" s="4"/>
      <c r="F24" s="4">
        <v>1</v>
      </c>
      <c r="G24" s="4"/>
      <c r="H24" s="4"/>
      <c r="I24" s="4"/>
      <c r="J24" s="4"/>
      <c r="K24" s="4"/>
      <c r="L24" s="4">
        <v>120</v>
      </c>
      <c r="M24" s="4"/>
    </row>
    <row r="25" spans="1:13">
      <c r="A25" s="4" t="s">
        <v>107</v>
      </c>
      <c r="B25" s="4"/>
      <c r="C25" s="4"/>
      <c r="D25" s="4"/>
      <c r="E25" s="4"/>
      <c r="F25" s="4">
        <v>5</v>
      </c>
      <c r="G25" s="4"/>
      <c r="H25" s="4"/>
      <c r="I25" s="4"/>
      <c r="J25" s="4"/>
      <c r="K25" s="4"/>
      <c r="L25" s="4">
        <v>400</v>
      </c>
      <c r="M25" s="4"/>
    </row>
    <row r="26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 t="s">
        <v>108</v>
      </c>
      <c r="L26" s="4">
        <f>SUM(L2:L25)</f>
        <v>1583</v>
      </c>
      <c r="M26" s="4"/>
    </row>
    <row r="27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 t="s">
        <v>109</v>
      </c>
      <c r="L27" s="8">
        <f>L26/7</f>
        <v>226.142857142857</v>
      </c>
      <c r="M27" s="4"/>
    </row>
    <row r="28" spans="1:1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ytnypeut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1504816638@qq.com</dc:creator>
  <cp:lastModifiedBy>平行线</cp:lastModifiedBy>
  <dcterms:created xsi:type="dcterms:W3CDTF">2026-01-24T09:35:00Z</dcterms:created>
  <dcterms:modified xsi:type="dcterms:W3CDTF">2026-01-28T09:54:57Z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0F2CE6741AB44CA6AA0E620A98709889_12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