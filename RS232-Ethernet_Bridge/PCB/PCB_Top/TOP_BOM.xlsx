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1row0405" sheetId="1" r:id="rId1"/>
  </sheets>
  <definedNames>
    <definedName name="_xlnm.Print_Titles" localSheetId="0">'1row0405'!$1:$1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<sst xmlns="http://schemas.openxmlformats.org/spreadsheetml/2006/main" count="378" uniqueCount="221">
  <si>
    <t>Comment</t>
  </si>
  <si>
    <t>Description</t>
  </si>
  <si>
    <t>Designator</t>
  </si>
  <si>
    <t>Footprint</t>
  </si>
  <si>
    <t>LibRef</t>
  </si>
  <si>
    <t>Quantity</t>
  </si>
  <si>
    <t>Model number</t>
  </si>
  <si>
    <t>Manufacturer</t>
  </si>
  <si>
    <t>Size</t>
  </si>
  <si>
    <t>Minimum quantity</t>
  </si>
  <si>
    <t>Unit price</t>
  </si>
  <si>
    <t>Total price</t>
  </si>
  <si>
    <t>MOD-ESP32-WROOM-32E</t>
  </si>
  <si>
    <t/>
  </si>
  <si>
    <t>A1</t>
  </si>
  <si>
    <t>ESP32-WROOM-32E-N4</t>
  </si>
  <si>
    <t>ESPRESSIF</t>
  </si>
  <si>
    <t>SMD,25.5x18mm</t>
  </si>
  <si>
    <t>10uF</t>
  </si>
  <si>
    <t>C1</t>
  </si>
  <si>
    <t>CAP-0805</t>
  </si>
  <si>
    <t>CAP-NON-POLAR</t>
  </si>
  <si>
    <t>0603X106K100NT</t>
  </si>
  <si>
    <t>FH</t>
  </si>
  <si>
    <t>0603</t>
  </si>
  <si>
    <t>0.1uF</t>
  </si>
  <si>
    <t>C2</t>
  </si>
  <si>
    <t>CC0805KRX7R9BB104</t>
  </si>
  <si>
    <t>YAGEO</t>
  </si>
  <si>
    <t>100uF_16V</t>
  </si>
  <si>
    <t>C3, C4, C6, C7</t>
  </si>
  <si>
    <t>CAP-TAN-D</t>
  </si>
  <si>
    <t>CAP_POL_SMD</t>
  </si>
  <si>
    <t>TAJD107K016RNJ</t>
  </si>
  <si>
    <t>Kyocera AVX</t>
  </si>
  <si>
    <t>CASE-D-7343-31(mm)</t>
  </si>
  <si>
    <t>470pF</t>
  </si>
  <si>
    <t>C5, C14</t>
  </si>
  <si>
    <t>CAP-0603</t>
  </si>
  <si>
    <t>0603B471K500NT</t>
  </si>
  <si>
    <t>C8, C12, C15, C16, C29</t>
  </si>
  <si>
    <t>CL10B104KB8NNNC</t>
  </si>
  <si>
    <t>SAMSUNG</t>
  </si>
  <si>
    <t>330uF 25V</t>
  </si>
  <si>
    <t>C9</t>
  </si>
  <si>
    <t>CAP_SMD_Size_E</t>
  </si>
  <si>
    <t>RVT1E331M0810</t>
  </si>
  <si>
    <t>ROQANG</t>
  </si>
  <si>
    <t>SMD,D8xL10.2mm</t>
  </si>
  <si>
    <t>0.47uF</t>
  </si>
  <si>
    <t>C10</t>
  </si>
  <si>
    <t>CL10B474KA8NNNC</t>
  </si>
  <si>
    <t>47uF_16V</t>
  </si>
  <si>
    <t>C11</t>
  </si>
  <si>
    <t>CAP-POLAR</t>
  </si>
  <si>
    <t>TAJD476K016RNJ</t>
  </si>
  <si>
    <t>1uF</t>
  </si>
  <si>
    <t>C13</t>
  </si>
  <si>
    <t>CL10A105KB8NNNC</t>
  </si>
  <si>
    <t>22nF</t>
  </si>
  <si>
    <t>C17</t>
  </si>
  <si>
    <t>CL10B223KB8NNNC</t>
  </si>
  <si>
    <t>2.2uF</t>
  </si>
  <si>
    <t>C30</t>
  </si>
  <si>
    <t>0603B225K250NT</t>
  </si>
  <si>
    <t>ES1G</t>
  </si>
  <si>
    <t>Ultrafast</t>
  </si>
  <si>
    <t>D1</t>
  </si>
  <si>
    <t>FP-403AE-MFG</t>
  </si>
  <si>
    <t>R+O</t>
  </si>
  <si>
    <t>SMA(DO-214AC)</t>
  </si>
  <si>
    <t>SS14</t>
  </si>
  <si>
    <t>D2</t>
  </si>
  <si>
    <t>DO-214-AC</t>
  </si>
  <si>
    <t>LED GREEN</t>
  </si>
  <si>
    <t>WURTH ELEKTRONIK - 151031YS06000 - LED, Yellow, Through Hole, T-1 (3mm), 30 mA, 2 V, 590 nm</t>
  </si>
  <si>
    <t>D3</t>
  </si>
  <si>
    <t>LED_GREEN</t>
  </si>
  <si>
    <t>LED</t>
  </si>
  <si>
    <t>XL-302SYGD</t>
  </si>
  <si>
    <t>XINGLIGHT</t>
  </si>
  <si>
    <t>3mm</t>
  </si>
  <si>
    <t>LED RED</t>
  </si>
  <si>
    <t>D4, D5</t>
  </si>
  <si>
    <t>LED_RED</t>
  </si>
  <si>
    <t>XL-302SURD</t>
  </si>
  <si>
    <t>LED YELLOW</t>
  </si>
  <si>
    <t>D7</t>
  </si>
  <si>
    <t>204-10UYD/S530-A3-L</t>
  </si>
  <si>
    <t>EVERLIGHT</t>
  </si>
  <si>
    <t>LED BLUE</t>
  </si>
  <si>
    <t>D8</t>
  </si>
  <si>
    <t>XL-302UBD</t>
  </si>
  <si>
    <t>RJ45</t>
  </si>
  <si>
    <t>J1</t>
  </si>
  <si>
    <t>RJ-45</t>
  </si>
  <si>
    <t>HRK1-1B72F09</t>
  </si>
  <si>
    <t>HR911105A</t>
  </si>
  <si>
    <t>yx</t>
  </si>
  <si>
    <t>RJ45单口立式</t>
  </si>
  <si>
    <t>Jumper</t>
  </si>
  <si>
    <t>JE1</t>
  </si>
  <si>
    <t>JE</t>
  </si>
  <si>
    <t>470µH</t>
  </si>
  <si>
    <t>WE-PD2 SMT Power Inductor, size 5848, 3.3µH, 4A, 0.06Ω</t>
  </si>
  <si>
    <t>L1</t>
  </si>
  <si>
    <t>WE-PD2_5848</t>
  </si>
  <si>
    <t>744774033</t>
  </si>
  <si>
    <t>MSRH5D28-471MT</t>
  </si>
  <si>
    <t>MetalLions</t>
  </si>
  <si>
    <t>SMD,5.7x5.7mm</t>
  </si>
  <si>
    <t>220uH</t>
  </si>
  <si>
    <t>L2</t>
  </si>
  <si>
    <t>Coil_4.5x4.5_mm</t>
  </si>
  <si>
    <t>Coil</t>
  </si>
  <si>
    <t>CY43-220UH</t>
  </si>
  <si>
    <t>SHOU HAN</t>
  </si>
  <si>
    <t>SMD,4.5x4mm</t>
  </si>
  <si>
    <t>33uH</t>
  </si>
  <si>
    <t>L3</t>
  </si>
  <si>
    <t>CY43-33UH</t>
  </si>
  <si>
    <t>470uH</t>
  </si>
  <si>
    <t>L5</t>
  </si>
  <si>
    <t>SNR4030TYD471M</t>
  </si>
  <si>
    <t>SOREDE</t>
  </si>
  <si>
    <t>SMD,4x4mm</t>
  </si>
  <si>
    <t>691305540002</t>
  </si>
  <si>
    <t>WR-TBL Series 3055 PCB Header Horizontal Entry with Plastic Latches, THT, pitch 5.08mm, 2p</t>
  </si>
  <si>
    <t>P1</t>
  </si>
  <si>
    <t>A508RC-2P0G36</t>
  </si>
  <si>
    <t>JXTCONN</t>
  </si>
  <si>
    <t>1*2P=5.08mm</t>
  </si>
  <si>
    <t>61300611121</t>
  </si>
  <si>
    <t>WR-PHD Pin Header, THT, Vertical, pitch 2.54mm, 1 Row, 6P</t>
  </si>
  <si>
    <t>P2</t>
  </si>
  <si>
    <t>PZ254V-11-06P</t>
  </si>
  <si>
    <t>1*6P=2.54mm</t>
  </si>
  <si>
    <t>PLS-2.54x6_25mm</t>
  </si>
  <si>
    <t>P3, P4</t>
  </si>
  <si>
    <t>0.33</t>
  </si>
  <si>
    <t>R1</t>
  </si>
  <si>
    <t>RES-1206</t>
  </si>
  <si>
    <t>RES-CONST</t>
  </si>
  <si>
    <t>0603WAF330LT5E</t>
  </si>
  <si>
    <t>UNI-ROYAL</t>
  </si>
  <si>
    <t>49.9R 1%</t>
  </si>
  <si>
    <t>R2, R3, R4, R5</t>
  </si>
  <si>
    <t>RES-0603</t>
  </si>
  <si>
    <t>0603WAF499JT5E</t>
  </si>
  <si>
    <t>3.8K</t>
  </si>
  <si>
    <t>10K</t>
  </si>
  <si>
    <t>R6</t>
  </si>
  <si>
    <t>RES-0805</t>
  </si>
  <si>
    <t>0603WAF1002T5E</t>
  </si>
  <si>
    <t>1.2K</t>
  </si>
  <si>
    <t>R7</t>
  </si>
  <si>
    <t>0603WAF1201T5E</t>
  </si>
  <si>
    <t>1K</t>
  </si>
  <si>
    <t>R8, R9</t>
  </si>
  <si>
    <t>0603WAF1001T5E</t>
  </si>
  <si>
    <t>33R</t>
  </si>
  <si>
    <t>R10, R35</t>
  </si>
  <si>
    <t>0603WAF330JT5E</t>
  </si>
  <si>
    <t>12.1K  1%</t>
  </si>
  <si>
    <t>12.1K</t>
  </si>
  <si>
    <t>R11</t>
  </si>
  <si>
    <t>0603WAF1212T5E</t>
  </si>
  <si>
    <t>1.5K</t>
  </si>
  <si>
    <t>R12</t>
  </si>
  <si>
    <t>0603WAJ0152T5E</t>
  </si>
  <si>
    <t>R13, R16, R20, R28, R37</t>
  </si>
  <si>
    <t>220</t>
  </si>
  <si>
    <t>R17, R18, R19, R32, R33</t>
  </si>
  <si>
    <t>0603WAF2203T5E</t>
  </si>
  <si>
    <t>100K</t>
  </si>
  <si>
    <t>R21</t>
  </si>
  <si>
    <t>0603WAF1003T5E</t>
  </si>
  <si>
    <t>430152050826</t>
  </si>
  <si>
    <t>WS-TASV SMT Tact Switch, 6mm x 6mm, 260gf, SPST-NO, 12V, 50mA</t>
  </si>
  <si>
    <t>SW1</t>
  </si>
  <si>
    <t>TS665TP</t>
  </si>
  <si>
    <t>SMD-4P,6x6mm</t>
  </si>
  <si>
    <t>Test_Point_PCB</t>
  </si>
  <si>
    <t>Test_Point</t>
  </si>
  <si>
    <t>TP1, TP2, TP4</t>
  </si>
  <si>
    <t>TP_PCB?</t>
  </si>
  <si>
    <t>TP3</t>
  </si>
  <si>
    <t>Pin_Test_Point(Orange)</t>
  </si>
  <si>
    <t>MC34063</t>
  </si>
  <si>
    <t>U1</t>
  </si>
  <si>
    <t>SOIC-8_M</t>
  </si>
  <si>
    <t>HXY MOSFET</t>
  </si>
  <si>
    <t>SOP-8</t>
  </si>
  <si>
    <t>AMS1117</t>
  </si>
  <si>
    <t>U2</t>
  </si>
  <si>
    <t>SOT-89</t>
  </si>
  <si>
    <t>AMS1117-5</t>
  </si>
  <si>
    <t>AMS</t>
  </si>
  <si>
    <t>AMS1117-3.3</t>
  </si>
  <si>
    <t>U3</t>
  </si>
  <si>
    <t>LAN8720A</t>
  </si>
  <si>
    <t>U4</t>
  </si>
  <si>
    <t>24QFN-4x4B-IPC_A</t>
  </si>
  <si>
    <t>LAN7820A</t>
  </si>
  <si>
    <t>LAN8720A-CP-TR</t>
  </si>
  <si>
    <t>MICROCHIP</t>
  </si>
  <si>
    <t>QFN-24-EP(4x4)</t>
  </si>
  <si>
    <t>50.00 Mhz</t>
  </si>
  <si>
    <t>Z1</t>
  </si>
  <si>
    <t>50.00Mhz active quartz</t>
  </si>
  <si>
    <t>Crystal_50Mhz_active</t>
  </si>
  <si>
    <t>OT2EL4C4JI-111OLP-50M</t>
  </si>
  <si>
    <t>YXC</t>
  </si>
  <si>
    <t>SMD3225-4P</t>
  </si>
  <si>
    <t>TOP(PCB)</t>
  </si>
  <si>
    <t>FR-4 board, double-sided, 1.6mm thickness, green solder mask with white text, 1oz copper thickness, covered vias, lead-free spray tin</t>
  </si>
  <si>
    <t>SMT Stencil</t>
  </si>
  <si>
    <t>SMT  Welding</t>
  </si>
  <si>
    <t>RMB</t>
  </si>
  <si>
    <t>USD</t>
  </si>
  <si>
    <t>139$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</si>
</sst>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0;\-\$#,##0.0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szlcsc.com/26732.html?fromZone=s_s__%221.5K%200603%22&amp;spm=sc.gbn.xh4.zy.n&amp;lcsc_vid=QlMMUVAAQlMMBVRUFgNYV1xXRFBeAgAARQVWAVIDQlgxVlNQQ1FZV1FfTlZWVDsOAxUeFF5JWBIBSRccGwIdBEoFGAxBAAgJFQACSQwSGg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topLeftCell="A13" workbookViewId="0">
      <selection activeCell="L2" sqref="L2:L50"/>
    </sheetView>
  </sheetViews>
  <sheetFormatPr defaultColWidth="9" defaultRowHeight="13.85"/>
  <cols>
    <col min="1" max="2" width="17.5398230088496" customWidth="1"/>
    <col min="3" max="3" width="32.4601769911504" customWidth="1"/>
    <col min="4" max="6" width="17.5398230088496" customWidth="1"/>
    <col min="7" max="7" width="22.3716814159292" customWidth="1"/>
    <col min="9" max="9" width="20.5132743362832" customWidth="1"/>
    <col min="12" max="12" width="10.3274336283186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1" t="s">
        <v>12</v>
      </c>
      <c r="B2" s="11" t="s">
        <v>13</v>
      </c>
      <c r="C2" s="11" t="s">
        <v>14</v>
      </c>
      <c r="D2" s="11" t="s">
        <v>12</v>
      </c>
      <c r="E2" s="11" t="s">
        <v>12</v>
      </c>
      <c r="F2" s="5">
        <v>1</v>
      </c>
      <c r="G2" s="6" t="s">
        <v>15</v>
      </c>
      <c r="H2" s="6" t="s">
        <v>16</v>
      </c>
      <c r="I2" s="6" t="s">
        <v>17</v>
      </c>
      <c r="J2" s="6">
        <f>F2*10</f>
        <v>10</v>
      </c>
      <c r="K2" s="6">
        <v>24</v>
      </c>
      <c r="L2" s="6">
        <f>J2*K2</f>
        <v>240</v>
      </c>
    </row>
    <row r="3" spans="1:12">
      <c r="A3" s="11" t="s">
        <v>18</v>
      </c>
      <c r="B3" s="11" t="s">
        <v>13</v>
      </c>
      <c r="C3" s="11" t="s">
        <v>19</v>
      </c>
      <c r="D3" s="11" t="s">
        <v>20</v>
      </c>
      <c r="E3" s="11" t="s">
        <v>21</v>
      </c>
      <c r="F3" s="5">
        <v>1</v>
      </c>
      <c r="G3" s="5" t="s">
        <v>22</v>
      </c>
      <c r="H3" s="5" t="s">
        <v>23</v>
      </c>
      <c r="I3" s="11" t="s">
        <v>24</v>
      </c>
      <c r="J3" s="6">
        <f t="shared" ref="J3:J47" si="0">F3*10</f>
        <v>10</v>
      </c>
      <c r="K3" s="5">
        <v>0.06</v>
      </c>
      <c r="L3" s="5">
        <f t="shared" ref="L3:L47" si="1">J3*K3</f>
        <v>0.6</v>
      </c>
    </row>
    <row r="4" spans="1:12">
      <c r="A4" s="11" t="s">
        <v>25</v>
      </c>
      <c r="B4" s="11" t="s">
        <v>13</v>
      </c>
      <c r="C4" s="11" t="s">
        <v>26</v>
      </c>
      <c r="D4" s="11" t="s">
        <v>20</v>
      </c>
      <c r="E4" s="11" t="s">
        <v>21</v>
      </c>
      <c r="F4" s="5">
        <v>1</v>
      </c>
      <c r="G4" s="5" t="s">
        <v>27</v>
      </c>
      <c r="H4" s="5" t="s">
        <v>28</v>
      </c>
      <c r="I4" s="11" t="s">
        <v>24</v>
      </c>
      <c r="J4" s="6">
        <f t="shared" si="0"/>
        <v>10</v>
      </c>
      <c r="K4" s="5">
        <v>0.02</v>
      </c>
      <c r="L4" s="5">
        <f t="shared" si="1"/>
        <v>0.2</v>
      </c>
    </row>
    <row r="5" spans="1:12">
      <c r="A5" s="11" t="s">
        <v>29</v>
      </c>
      <c r="B5" s="11" t="s">
        <v>13</v>
      </c>
      <c r="C5" s="11" t="s">
        <v>30</v>
      </c>
      <c r="D5" s="11" t="s">
        <v>31</v>
      </c>
      <c r="E5" s="11" t="s">
        <v>32</v>
      </c>
      <c r="F5" s="5">
        <v>4</v>
      </c>
      <c r="G5" s="5" t="s">
        <v>33</v>
      </c>
      <c r="H5" s="5" t="s">
        <v>34</v>
      </c>
      <c r="I5" s="5" t="s">
        <v>35</v>
      </c>
      <c r="J5" s="6">
        <f t="shared" si="0"/>
        <v>40</v>
      </c>
      <c r="K5" s="5">
        <v>2.3</v>
      </c>
      <c r="L5" s="5">
        <f t="shared" si="1"/>
        <v>92</v>
      </c>
    </row>
    <row r="6" spans="1:12">
      <c r="A6" s="11" t="s">
        <v>36</v>
      </c>
      <c r="B6" s="11" t="s">
        <v>13</v>
      </c>
      <c r="C6" s="11" t="s">
        <v>37</v>
      </c>
      <c r="D6" s="11" t="s">
        <v>38</v>
      </c>
      <c r="E6" s="11" t="s">
        <v>21</v>
      </c>
      <c r="F6" s="5">
        <v>2</v>
      </c>
      <c r="G6" s="5" t="s">
        <v>39</v>
      </c>
      <c r="H6" s="5" t="s">
        <v>23</v>
      </c>
      <c r="I6" s="11" t="s">
        <v>24</v>
      </c>
      <c r="J6" s="6">
        <f t="shared" si="0"/>
        <v>20</v>
      </c>
      <c r="K6" s="5">
        <v>0.02</v>
      </c>
      <c r="L6" s="5">
        <f t="shared" si="1"/>
        <v>0.4</v>
      </c>
    </row>
    <row r="7" spans="1:12">
      <c r="A7" s="11" t="s">
        <v>25</v>
      </c>
      <c r="B7" s="11" t="s">
        <v>13</v>
      </c>
      <c r="C7" s="11" t="s">
        <v>40</v>
      </c>
      <c r="D7" s="11" t="s">
        <v>38</v>
      </c>
      <c r="E7" s="11" t="s">
        <v>21</v>
      </c>
      <c r="F7" s="5">
        <v>5</v>
      </c>
      <c r="G7" s="5" t="s">
        <v>41</v>
      </c>
      <c r="H7" s="5" t="s">
        <v>42</v>
      </c>
      <c r="I7" s="11" t="s">
        <v>24</v>
      </c>
      <c r="J7" s="6">
        <f t="shared" si="0"/>
        <v>50</v>
      </c>
      <c r="K7" s="5">
        <v>0.02</v>
      </c>
      <c r="L7" s="5">
        <f t="shared" si="1"/>
        <v>1</v>
      </c>
    </row>
    <row r="8" spans="1:12">
      <c r="A8" s="11" t="s">
        <v>43</v>
      </c>
      <c r="B8" s="11" t="s">
        <v>13</v>
      </c>
      <c r="C8" s="11" t="s">
        <v>44</v>
      </c>
      <c r="D8" s="11" t="s">
        <v>45</v>
      </c>
      <c r="E8" s="11" t="s">
        <v>32</v>
      </c>
      <c r="F8" s="5">
        <v>1</v>
      </c>
      <c r="G8" s="5" t="s">
        <v>46</v>
      </c>
      <c r="H8" s="5" t="s">
        <v>47</v>
      </c>
      <c r="I8" s="5" t="s">
        <v>48</v>
      </c>
      <c r="J8" s="6">
        <f t="shared" si="0"/>
        <v>10</v>
      </c>
      <c r="K8" s="5">
        <v>0.4</v>
      </c>
      <c r="L8" s="5">
        <f t="shared" si="1"/>
        <v>4</v>
      </c>
    </row>
    <row r="9" spans="1:12">
      <c r="A9" s="11" t="s">
        <v>49</v>
      </c>
      <c r="B9" s="11" t="s">
        <v>13</v>
      </c>
      <c r="C9" s="11" t="s">
        <v>50</v>
      </c>
      <c r="D9" s="11" t="s">
        <v>20</v>
      </c>
      <c r="E9" s="11" t="s">
        <v>21</v>
      </c>
      <c r="F9" s="5">
        <v>1</v>
      </c>
      <c r="G9" s="5" t="s">
        <v>51</v>
      </c>
      <c r="H9" s="5" t="s">
        <v>42</v>
      </c>
      <c r="I9" s="11" t="s">
        <v>24</v>
      </c>
      <c r="J9" s="6">
        <f t="shared" si="0"/>
        <v>10</v>
      </c>
      <c r="K9" s="5">
        <v>0.05</v>
      </c>
      <c r="L9" s="5">
        <f t="shared" si="1"/>
        <v>0.5</v>
      </c>
    </row>
    <row r="10" spans="1:12">
      <c r="A10" s="11" t="s">
        <v>52</v>
      </c>
      <c r="B10" s="11" t="s">
        <v>13</v>
      </c>
      <c r="C10" s="11" t="s">
        <v>53</v>
      </c>
      <c r="D10" s="11" t="s">
        <v>31</v>
      </c>
      <c r="E10" s="11" t="s">
        <v>54</v>
      </c>
      <c r="F10" s="5">
        <v>1</v>
      </c>
      <c r="G10" s="5" t="s">
        <v>55</v>
      </c>
      <c r="H10" s="5" t="s">
        <v>34</v>
      </c>
      <c r="I10" s="5" t="s">
        <v>35</v>
      </c>
      <c r="J10" s="6">
        <f t="shared" si="0"/>
        <v>10</v>
      </c>
      <c r="K10" s="5">
        <v>2</v>
      </c>
      <c r="L10" s="5">
        <f t="shared" si="1"/>
        <v>20</v>
      </c>
    </row>
    <row r="11" spans="1:12">
      <c r="A11" s="11" t="s">
        <v>56</v>
      </c>
      <c r="B11" s="11" t="s">
        <v>13</v>
      </c>
      <c r="C11" s="11" t="s">
        <v>57</v>
      </c>
      <c r="D11" s="11" t="s">
        <v>38</v>
      </c>
      <c r="E11" s="11" t="s">
        <v>21</v>
      </c>
      <c r="F11" s="5">
        <v>1</v>
      </c>
      <c r="G11" s="5" t="s">
        <v>58</v>
      </c>
      <c r="H11" s="5" t="s">
        <v>42</v>
      </c>
      <c r="I11" s="11" t="s">
        <v>24</v>
      </c>
      <c r="J11" s="6">
        <f t="shared" si="0"/>
        <v>10</v>
      </c>
      <c r="K11" s="5">
        <v>0.04</v>
      </c>
      <c r="L11" s="5">
        <f t="shared" si="1"/>
        <v>0.4</v>
      </c>
    </row>
    <row r="12" spans="1:12">
      <c r="A12" s="11" t="s">
        <v>59</v>
      </c>
      <c r="B12" s="11" t="s">
        <v>59</v>
      </c>
      <c r="C12" s="11" t="s">
        <v>60</v>
      </c>
      <c r="D12" s="11" t="s">
        <v>38</v>
      </c>
      <c r="E12" s="11" t="s">
        <v>21</v>
      </c>
      <c r="F12" s="5">
        <v>1</v>
      </c>
      <c r="G12" s="5" t="s">
        <v>61</v>
      </c>
      <c r="H12" s="5" t="s">
        <v>42</v>
      </c>
      <c r="I12" s="11" t="s">
        <v>24</v>
      </c>
      <c r="J12" s="6">
        <f t="shared" si="0"/>
        <v>10</v>
      </c>
      <c r="K12" s="5">
        <v>0.03</v>
      </c>
      <c r="L12" s="5">
        <f t="shared" si="1"/>
        <v>0.3</v>
      </c>
    </row>
    <row r="13" spans="1:12">
      <c r="A13" s="11" t="s">
        <v>62</v>
      </c>
      <c r="B13" s="11" t="s">
        <v>13</v>
      </c>
      <c r="C13" s="11" t="s">
        <v>63</v>
      </c>
      <c r="D13" s="11" t="s">
        <v>38</v>
      </c>
      <c r="E13" s="11" t="s">
        <v>21</v>
      </c>
      <c r="F13" s="5">
        <v>1</v>
      </c>
      <c r="G13" s="5" t="s">
        <v>64</v>
      </c>
      <c r="H13" s="5" t="s">
        <v>23</v>
      </c>
      <c r="I13" s="11" t="s">
        <v>24</v>
      </c>
      <c r="J13" s="6">
        <f t="shared" si="0"/>
        <v>10</v>
      </c>
      <c r="K13" s="5">
        <v>0.2</v>
      </c>
      <c r="L13" s="5">
        <f t="shared" si="1"/>
        <v>2</v>
      </c>
    </row>
    <row r="14" spans="1:12">
      <c r="A14" s="11" t="s">
        <v>65</v>
      </c>
      <c r="B14" s="11" t="s">
        <v>66</v>
      </c>
      <c r="C14" s="11" t="s">
        <v>67</v>
      </c>
      <c r="D14" s="11" t="s">
        <v>68</v>
      </c>
      <c r="E14" s="11" t="s">
        <v>65</v>
      </c>
      <c r="F14" s="5">
        <v>1</v>
      </c>
      <c r="G14" s="11" t="s">
        <v>65</v>
      </c>
      <c r="H14" s="5" t="s">
        <v>69</v>
      </c>
      <c r="I14" s="5" t="s">
        <v>70</v>
      </c>
      <c r="J14" s="6">
        <f t="shared" si="0"/>
        <v>10</v>
      </c>
      <c r="K14" s="5">
        <v>0.1</v>
      </c>
      <c r="L14" s="5">
        <f t="shared" si="1"/>
        <v>1</v>
      </c>
    </row>
    <row r="15" spans="1:12">
      <c r="A15" s="11" t="s">
        <v>71</v>
      </c>
      <c r="B15" s="11" t="s">
        <v>13</v>
      </c>
      <c r="C15" s="11" t="s">
        <v>72</v>
      </c>
      <c r="D15" s="11" t="s">
        <v>73</v>
      </c>
      <c r="E15" s="11" t="s">
        <v>71</v>
      </c>
      <c r="F15" s="5">
        <v>1</v>
      </c>
      <c r="G15" s="11" t="s">
        <v>71</v>
      </c>
      <c r="H15" s="5" t="s">
        <v>69</v>
      </c>
      <c r="I15" s="5" t="s">
        <v>70</v>
      </c>
      <c r="J15" s="6">
        <f t="shared" si="0"/>
        <v>10</v>
      </c>
      <c r="K15" s="5">
        <v>0.2</v>
      </c>
      <c r="L15" s="5">
        <f t="shared" si="1"/>
        <v>2</v>
      </c>
    </row>
    <row r="16" spans="1:12">
      <c r="A16" s="11" t="s">
        <v>74</v>
      </c>
      <c r="B16" s="11" t="s">
        <v>75</v>
      </c>
      <c r="C16" s="11" t="s">
        <v>76</v>
      </c>
      <c r="D16" s="11" t="s">
        <v>77</v>
      </c>
      <c r="E16" s="11" t="s">
        <v>78</v>
      </c>
      <c r="F16" s="5">
        <v>1</v>
      </c>
      <c r="G16" s="5" t="s">
        <v>79</v>
      </c>
      <c r="H16" s="5" t="s">
        <v>80</v>
      </c>
      <c r="I16" s="5" t="s">
        <v>81</v>
      </c>
      <c r="J16" s="6">
        <f t="shared" si="0"/>
        <v>10</v>
      </c>
      <c r="K16" s="5">
        <v>0.2</v>
      </c>
      <c r="L16" s="5">
        <f t="shared" si="1"/>
        <v>2</v>
      </c>
    </row>
    <row r="17" spans="1:12">
      <c r="A17" s="11" t="s">
        <v>82</v>
      </c>
      <c r="B17" s="11" t="s">
        <v>75</v>
      </c>
      <c r="C17" s="11" t="s">
        <v>83</v>
      </c>
      <c r="D17" s="11" t="s">
        <v>84</v>
      </c>
      <c r="E17" s="11" t="s">
        <v>78</v>
      </c>
      <c r="F17" s="5">
        <v>2</v>
      </c>
      <c r="G17" s="5" t="s">
        <v>85</v>
      </c>
      <c r="H17" s="5" t="s">
        <v>80</v>
      </c>
      <c r="I17" s="5" t="s">
        <v>81</v>
      </c>
      <c r="J17" s="6">
        <f t="shared" si="0"/>
        <v>20</v>
      </c>
      <c r="K17" s="5">
        <v>0.2</v>
      </c>
      <c r="L17" s="5">
        <f t="shared" si="1"/>
        <v>4</v>
      </c>
    </row>
    <row r="18" spans="1:12">
      <c r="A18" s="11" t="s">
        <v>86</v>
      </c>
      <c r="B18" s="11" t="s">
        <v>75</v>
      </c>
      <c r="C18" s="11" t="s">
        <v>87</v>
      </c>
      <c r="D18" s="11" t="s">
        <v>77</v>
      </c>
      <c r="E18" s="11" t="s">
        <v>78</v>
      </c>
      <c r="F18" s="5">
        <v>1</v>
      </c>
      <c r="G18" s="5" t="s">
        <v>88</v>
      </c>
      <c r="H18" s="5" t="s">
        <v>89</v>
      </c>
      <c r="I18" s="5" t="s">
        <v>81</v>
      </c>
      <c r="J18" s="6">
        <f t="shared" si="0"/>
        <v>10</v>
      </c>
      <c r="K18" s="5">
        <v>0.2</v>
      </c>
      <c r="L18" s="5">
        <f t="shared" si="1"/>
        <v>2</v>
      </c>
    </row>
    <row r="19" spans="1:12">
      <c r="A19" s="11" t="s">
        <v>90</v>
      </c>
      <c r="B19" s="11" t="s">
        <v>75</v>
      </c>
      <c r="C19" s="11" t="s">
        <v>91</v>
      </c>
      <c r="D19" s="11" t="s">
        <v>84</v>
      </c>
      <c r="E19" s="11" t="s">
        <v>78</v>
      </c>
      <c r="F19" s="5">
        <v>1</v>
      </c>
      <c r="G19" s="5" t="s">
        <v>92</v>
      </c>
      <c r="H19" s="5" t="s">
        <v>80</v>
      </c>
      <c r="I19" s="5" t="s">
        <v>81</v>
      </c>
      <c r="J19" s="6">
        <f t="shared" si="0"/>
        <v>10</v>
      </c>
      <c r="K19" s="5">
        <v>0.2</v>
      </c>
      <c r="L19" s="5">
        <f t="shared" si="1"/>
        <v>2</v>
      </c>
    </row>
    <row r="20" spans="1:12">
      <c r="A20" s="11" t="s">
        <v>93</v>
      </c>
      <c r="B20" s="11" t="s">
        <v>13</v>
      </c>
      <c r="C20" s="11" t="s">
        <v>94</v>
      </c>
      <c r="D20" s="11" t="s">
        <v>95</v>
      </c>
      <c r="E20" s="11" t="s">
        <v>96</v>
      </c>
      <c r="F20" s="5">
        <v>1</v>
      </c>
      <c r="G20" s="5" t="s">
        <v>97</v>
      </c>
      <c r="H20" s="5" t="s">
        <v>98</v>
      </c>
      <c r="I20" s="5" t="s">
        <v>99</v>
      </c>
      <c r="J20" s="6">
        <f t="shared" si="0"/>
        <v>10</v>
      </c>
      <c r="K20" s="5">
        <v>8</v>
      </c>
      <c r="L20" s="5">
        <f t="shared" si="1"/>
        <v>80</v>
      </c>
    </row>
    <row r="21" spans="1:12">
      <c r="A21" s="11" t="s">
        <v>100</v>
      </c>
      <c r="B21" s="11" t="s">
        <v>13</v>
      </c>
      <c r="C21" s="11" t="s">
        <v>101</v>
      </c>
      <c r="D21" s="11" t="s">
        <v>102</v>
      </c>
      <c r="E21" s="11" t="s">
        <v>102</v>
      </c>
      <c r="F21" s="5">
        <v>1</v>
      </c>
      <c r="G21" s="5"/>
      <c r="H21" s="5"/>
      <c r="I21" s="5"/>
      <c r="J21" s="6">
        <f t="shared" si="0"/>
        <v>10</v>
      </c>
      <c r="K21" s="5"/>
      <c r="L21" s="5">
        <f t="shared" si="1"/>
        <v>0</v>
      </c>
    </row>
    <row r="22" spans="1:12">
      <c r="A22" s="11" t="s">
        <v>103</v>
      </c>
      <c r="B22" s="11" t="s">
        <v>104</v>
      </c>
      <c r="C22" s="11" t="s">
        <v>105</v>
      </c>
      <c r="D22" s="11" t="s">
        <v>106</v>
      </c>
      <c r="E22" s="11" t="s">
        <v>107</v>
      </c>
      <c r="F22" s="5">
        <v>1</v>
      </c>
      <c r="G22" s="5" t="s">
        <v>108</v>
      </c>
      <c r="H22" s="5" t="s">
        <v>109</v>
      </c>
      <c r="I22" s="5" t="s">
        <v>110</v>
      </c>
      <c r="J22" s="6">
        <f t="shared" si="0"/>
        <v>10</v>
      </c>
      <c r="K22" s="5">
        <v>0.5</v>
      </c>
      <c r="L22" s="5">
        <f t="shared" si="1"/>
        <v>5</v>
      </c>
    </row>
    <row r="23" spans="1:12">
      <c r="A23" s="11" t="s">
        <v>111</v>
      </c>
      <c r="B23" s="11" t="s">
        <v>13</v>
      </c>
      <c r="C23" s="11" t="s">
        <v>112</v>
      </c>
      <c r="D23" s="11" t="s">
        <v>113</v>
      </c>
      <c r="E23" s="11" t="s">
        <v>114</v>
      </c>
      <c r="F23" s="5">
        <v>1</v>
      </c>
      <c r="G23" s="5" t="s">
        <v>115</v>
      </c>
      <c r="H23" s="5" t="s">
        <v>116</v>
      </c>
      <c r="I23" s="5" t="s">
        <v>117</v>
      </c>
      <c r="J23" s="6">
        <f t="shared" si="0"/>
        <v>10</v>
      </c>
      <c r="K23" s="5">
        <v>0.3</v>
      </c>
      <c r="L23" s="5">
        <f t="shared" si="1"/>
        <v>3</v>
      </c>
    </row>
    <row r="24" spans="1:12">
      <c r="A24" s="11" t="s">
        <v>118</v>
      </c>
      <c r="B24" s="11" t="s">
        <v>13</v>
      </c>
      <c r="C24" s="11" t="s">
        <v>119</v>
      </c>
      <c r="D24" s="11" t="s">
        <v>113</v>
      </c>
      <c r="E24" s="11" t="s">
        <v>114</v>
      </c>
      <c r="F24" s="5">
        <v>1</v>
      </c>
      <c r="G24" s="5" t="s">
        <v>120</v>
      </c>
      <c r="H24" s="5" t="s">
        <v>116</v>
      </c>
      <c r="I24" s="5" t="s">
        <v>117</v>
      </c>
      <c r="J24" s="6">
        <f t="shared" si="0"/>
        <v>10</v>
      </c>
      <c r="K24" s="5">
        <v>0.3</v>
      </c>
      <c r="L24" s="5">
        <f t="shared" si="1"/>
        <v>3</v>
      </c>
    </row>
    <row r="25" spans="1:12">
      <c r="A25" s="11" t="s">
        <v>121</v>
      </c>
      <c r="B25" s="11" t="s">
        <v>13</v>
      </c>
      <c r="C25" s="11" t="s">
        <v>122</v>
      </c>
      <c r="D25" s="11" t="s">
        <v>113</v>
      </c>
      <c r="E25" s="11" t="s">
        <v>114</v>
      </c>
      <c r="F25" s="5">
        <v>1</v>
      </c>
      <c r="G25" s="5" t="s">
        <v>123</v>
      </c>
      <c r="H25" s="5" t="s">
        <v>124</v>
      </c>
      <c r="I25" s="5" t="s">
        <v>125</v>
      </c>
      <c r="J25" s="6">
        <f t="shared" si="0"/>
        <v>10</v>
      </c>
      <c r="K25" s="5">
        <v>0.3</v>
      </c>
      <c r="L25" s="5">
        <f t="shared" si="1"/>
        <v>3</v>
      </c>
    </row>
    <row r="26" spans="1:12">
      <c r="A26" s="11" t="s">
        <v>126</v>
      </c>
      <c r="B26" s="11" t="s">
        <v>127</v>
      </c>
      <c r="C26" s="11" t="s">
        <v>128</v>
      </c>
      <c r="D26" s="11" t="s">
        <v>126</v>
      </c>
      <c r="E26" s="11" t="s">
        <v>126</v>
      </c>
      <c r="F26" s="5">
        <v>1</v>
      </c>
      <c r="G26" s="5" t="s">
        <v>129</v>
      </c>
      <c r="H26" s="5" t="s">
        <v>130</v>
      </c>
      <c r="I26" s="5" t="s">
        <v>131</v>
      </c>
      <c r="J26" s="6">
        <f t="shared" si="0"/>
        <v>10</v>
      </c>
      <c r="K26" s="5">
        <v>0.2</v>
      </c>
      <c r="L26" s="5">
        <f t="shared" si="1"/>
        <v>2</v>
      </c>
    </row>
    <row r="27" spans="1:12">
      <c r="A27" s="11" t="s">
        <v>132</v>
      </c>
      <c r="B27" s="11" t="s">
        <v>133</v>
      </c>
      <c r="C27" s="11" t="s">
        <v>134</v>
      </c>
      <c r="D27" s="11" t="s">
        <v>132</v>
      </c>
      <c r="E27" s="11" t="s">
        <v>132</v>
      </c>
      <c r="F27" s="5">
        <v>1</v>
      </c>
      <c r="G27" s="5" t="s">
        <v>135</v>
      </c>
      <c r="H27" s="5" t="s">
        <v>130</v>
      </c>
      <c r="I27" s="5" t="s">
        <v>136</v>
      </c>
      <c r="J27" s="6">
        <f t="shared" si="0"/>
        <v>10</v>
      </c>
      <c r="K27" s="5">
        <v>0.1</v>
      </c>
      <c r="L27" s="5">
        <f t="shared" si="1"/>
        <v>1</v>
      </c>
    </row>
    <row r="28" spans="1:12">
      <c r="A28" s="11" t="s">
        <v>137</v>
      </c>
      <c r="B28" s="11" t="s">
        <v>13</v>
      </c>
      <c r="C28" s="11" t="s">
        <v>138</v>
      </c>
      <c r="D28" s="11" t="s">
        <v>132</v>
      </c>
      <c r="E28" s="11" t="s">
        <v>137</v>
      </c>
      <c r="F28" s="5">
        <v>2</v>
      </c>
      <c r="G28" s="5" t="s">
        <v>135</v>
      </c>
      <c r="H28" s="5" t="s">
        <v>130</v>
      </c>
      <c r="I28" s="5" t="s">
        <v>136</v>
      </c>
      <c r="J28" s="6">
        <f t="shared" si="0"/>
        <v>20</v>
      </c>
      <c r="K28" s="5">
        <v>0.1</v>
      </c>
      <c r="L28" s="5">
        <f t="shared" si="1"/>
        <v>2</v>
      </c>
    </row>
    <row r="29" spans="1:12">
      <c r="A29" s="11" t="s">
        <v>139</v>
      </c>
      <c r="B29" s="11" t="s">
        <v>139</v>
      </c>
      <c r="C29" s="11" t="s">
        <v>140</v>
      </c>
      <c r="D29" s="11" t="s">
        <v>141</v>
      </c>
      <c r="E29" s="11" t="s">
        <v>142</v>
      </c>
      <c r="F29" s="5">
        <v>1</v>
      </c>
      <c r="G29" s="5" t="s">
        <v>143</v>
      </c>
      <c r="H29" s="5" t="s">
        <v>144</v>
      </c>
      <c r="I29" s="11" t="s">
        <v>24</v>
      </c>
      <c r="J29" s="6">
        <f t="shared" si="0"/>
        <v>10</v>
      </c>
      <c r="K29" s="5">
        <v>0.03</v>
      </c>
      <c r="L29" s="5">
        <f t="shared" si="1"/>
        <v>0.3</v>
      </c>
    </row>
    <row r="30" spans="1:12">
      <c r="A30" s="11" t="s">
        <v>145</v>
      </c>
      <c r="B30" s="11" t="s">
        <v>145</v>
      </c>
      <c r="C30" s="11" t="s">
        <v>146</v>
      </c>
      <c r="D30" s="11" t="s">
        <v>147</v>
      </c>
      <c r="E30" s="11" t="s">
        <v>142</v>
      </c>
      <c r="F30" s="5">
        <v>4</v>
      </c>
      <c r="G30" s="5" t="s">
        <v>148</v>
      </c>
      <c r="H30" s="5" t="s">
        <v>144</v>
      </c>
      <c r="I30" s="11" t="s">
        <v>24</v>
      </c>
      <c r="J30" s="6">
        <f t="shared" si="0"/>
        <v>40</v>
      </c>
      <c r="K30" s="5">
        <v>0.01</v>
      </c>
      <c r="L30" s="5">
        <f t="shared" si="1"/>
        <v>0.4</v>
      </c>
    </row>
    <row r="31" spans="1:12">
      <c r="A31" s="11" t="s">
        <v>149</v>
      </c>
      <c r="B31" s="11" t="s">
        <v>150</v>
      </c>
      <c r="C31" s="11" t="s">
        <v>151</v>
      </c>
      <c r="D31" s="11" t="s">
        <v>152</v>
      </c>
      <c r="E31" s="11" t="s">
        <v>142</v>
      </c>
      <c r="F31" s="5">
        <v>1</v>
      </c>
      <c r="G31" s="5" t="s">
        <v>153</v>
      </c>
      <c r="H31" s="5" t="s">
        <v>144</v>
      </c>
      <c r="I31" s="11" t="s">
        <v>24</v>
      </c>
      <c r="J31" s="6">
        <f t="shared" si="0"/>
        <v>10</v>
      </c>
      <c r="K31" s="5">
        <v>0.01</v>
      </c>
      <c r="L31" s="5">
        <f t="shared" si="1"/>
        <v>0.1</v>
      </c>
    </row>
    <row r="32" spans="1:12">
      <c r="A32" s="11" t="s">
        <v>154</v>
      </c>
      <c r="B32" s="11" t="s">
        <v>154</v>
      </c>
      <c r="C32" s="11" t="s">
        <v>155</v>
      </c>
      <c r="D32" s="11" t="s">
        <v>152</v>
      </c>
      <c r="E32" s="11" t="s">
        <v>142</v>
      </c>
      <c r="F32" s="5">
        <v>1</v>
      </c>
      <c r="G32" s="5" t="s">
        <v>156</v>
      </c>
      <c r="H32" s="5" t="s">
        <v>144</v>
      </c>
      <c r="I32" s="11" t="s">
        <v>24</v>
      </c>
      <c r="J32" s="6">
        <f t="shared" si="0"/>
        <v>10</v>
      </c>
      <c r="K32" s="5">
        <v>0.01</v>
      </c>
      <c r="L32" s="5">
        <f t="shared" si="1"/>
        <v>0.1</v>
      </c>
    </row>
    <row r="33" spans="1:13">
      <c r="A33" s="11" t="s">
        <v>157</v>
      </c>
      <c r="B33" s="11" t="s">
        <v>157</v>
      </c>
      <c r="C33" s="11" t="s">
        <v>158</v>
      </c>
      <c r="D33" s="11" t="s">
        <v>147</v>
      </c>
      <c r="E33" s="11" t="s">
        <v>142</v>
      </c>
      <c r="F33" s="5">
        <v>2</v>
      </c>
      <c r="G33" s="5" t="s">
        <v>159</v>
      </c>
      <c r="H33" s="5" t="s">
        <v>144</v>
      </c>
      <c r="I33" s="11" t="s">
        <v>24</v>
      </c>
      <c r="J33" s="6">
        <f t="shared" si="0"/>
        <v>20</v>
      </c>
      <c r="K33" s="5">
        <v>0.01</v>
      </c>
      <c r="L33" s="5">
        <f t="shared" si="1"/>
        <v>0.2</v>
      </c>
    </row>
    <row r="34" spans="1:13">
      <c r="A34" s="11" t="s">
        <v>160</v>
      </c>
      <c r="B34" s="11" t="s">
        <v>160</v>
      </c>
      <c r="C34" s="11" t="s">
        <v>161</v>
      </c>
      <c r="D34" s="11" t="s">
        <v>147</v>
      </c>
      <c r="E34" s="11" t="s">
        <v>142</v>
      </c>
      <c r="F34" s="5">
        <v>2</v>
      </c>
      <c r="G34" s="5" t="s">
        <v>162</v>
      </c>
      <c r="H34" s="5" t="s">
        <v>144</v>
      </c>
      <c r="I34" s="11" t="s">
        <v>24</v>
      </c>
      <c r="J34" s="6">
        <f t="shared" si="0"/>
        <v>20</v>
      </c>
      <c r="K34" s="5">
        <v>0.01</v>
      </c>
      <c r="L34" s="5">
        <f t="shared" si="1"/>
        <v>0.2</v>
      </c>
    </row>
    <row r="35" spans="1:13">
      <c r="A35" s="11" t="s">
        <v>163</v>
      </c>
      <c r="B35" s="11" t="s">
        <v>164</v>
      </c>
      <c r="C35" s="11" t="s">
        <v>165</v>
      </c>
      <c r="D35" s="11" t="s">
        <v>147</v>
      </c>
      <c r="E35" s="11" t="s">
        <v>142</v>
      </c>
      <c r="F35" s="5">
        <v>1</v>
      </c>
      <c r="G35" s="5" t="s">
        <v>166</v>
      </c>
      <c r="H35" s="5" t="s">
        <v>144</v>
      </c>
      <c r="I35" s="11" t="s">
        <v>24</v>
      </c>
      <c r="J35" s="6">
        <f t="shared" si="0"/>
        <v>10</v>
      </c>
      <c r="K35" s="5">
        <v>0.01</v>
      </c>
      <c r="L35" s="5">
        <f t="shared" si="1"/>
        <v>0.1</v>
      </c>
    </row>
    <row r="36" spans="1:13">
      <c r="A36" s="11" t="s">
        <v>167</v>
      </c>
      <c r="B36" s="11" t="s">
        <v>167</v>
      </c>
      <c r="C36" s="11" t="s">
        <v>168</v>
      </c>
      <c r="D36" s="11" t="s">
        <v>147</v>
      </c>
      <c r="E36" s="11" t="s">
        <v>142</v>
      </c>
      <c r="F36" s="5">
        <v>1</v>
      </c>
      <c r="G36" s="5" t="s">
        <v>169</v>
      </c>
      <c r="H36" s="5" t="s">
        <v>144</v>
      </c>
      <c r="I36" s="11" t="s">
        <v>24</v>
      </c>
      <c r="J36" s="6">
        <f t="shared" si="0"/>
        <v>10</v>
      </c>
      <c r="K36" s="5">
        <v>0.01</v>
      </c>
      <c r="L36" s="5">
        <f t="shared" si="1"/>
        <v>0.1</v>
      </c>
    </row>
    <row r="37" spans="1:13">
      <c r="A37" s="11" t="s">
        <v>150</v>
      </c>
      <c r="B37" s="11" t="s">
        <v>150</v>
      </c>
      <c r="C37" s="11" t="s">
        <v>170</v>
      </c>
      <c r="D37" s="11" t="s">
        <v>147</v>
      </c>
      <c r="E37" s="11" t="s">
        <v>142</v>
      </c>
      <c r="F37" s="5">
        <v>5</v>
      </c>
      <c r="G37" s="5" t="s">
        <v>153</v>
      </c>
      <c r="H37" s="5" t="s">
        <v>144</v>
      </c>
      <c r="I37" s="11" t="s">
        <v>24</v>
      </c>
      <c r="J37" s="6">
        <f t="shared" si="0"/>
        <v>50</v>
      </c>
      <c r="K37" s="5">
        <v>0.01</v>
      </c>
      <c r="L37" s="5">
        <f t="shared" si="1"/>
        <v>0.5</v>
      </c>
    </row>
    <row r="38" spans="1:13">
      <c r="A38" s="11" t="s">
        <v>171</v>
      </c>
      <c r="B38" s="11" t="s">
        <v>171</v>
      </c>
      <c r="C38" s="11" t="s">
        <v>172</v>
      </c>
      <c r="D38" s="11" t="s">
        <v>147</v>
      </c>
      <c r="E38" s="11" t="s">
        <v>142</v>
      </c>
      <c r="F38" s="5">
        <v>5</v>
      </c>
      <c r="G38" s="5" t="s">
        <v>173</v>
      </c>
      <c r="H38" s="5" t="s">
        <v>144</v>
      </c>
      <c r="I38" s="11" t="s">
        <v>24</v>
      </c>
      <c r="J38" s="6">
        <f t="shared" si="0"/>
        <v>50</v>
      </c>
      <c r="K38" s="5">
        <v>0.01</v>
      </c>
      <c r="L38" s="5">
        <f t="shared" si="1"/>
        <v>0.5</v>
      </c>
    </row>
    <row r="39" spans="1:13">
      <c r="A39" s="5" t="s">
        <v>174</v>
      </c>
      <c r="B39" s="5" t="s">
        <v>174</v>
      </c>
      <c r="C39" s="11" t="s">
        <v>175</v>
      </c>
      <c r="D39" s="11" t="s">
        <v>147</v>
      </c>
      <c r="E39" s="11" t="s">
        <v>142</v>
      </c>
      <c r="F39" s="5">
        <v>1</v>
      </c>
      <c r="G39" s="5" t="s">
        <v>176</v>
      </c>
      <c r="H39" s="5" t="s">
        <v>144</v>
      </c>
      <c r="I39" s="11" t="s">
        <v>24</v>
      </c>
      <c r="J39" s="6">
        <f t="shared" si="0"/>
        <v>10</v>
      </c>
      <c r="K39" s="5">
        <v>0.01</v>
      </c>
      <c r="L39" s="5">
        <f t="shared" si="1"/>
        <v>0.1</v>
      </c>
    </row>
    <row r="40" spans="1:13">
      <c r="A40" s="11" t="s">
        <v>177</v>
      </c>
      <c r="B40" s="11" t="s">
        <v>178</v>
      </c>
      <c r="C40" s="11" t="s">
        <v>179</v>
      </c>
      <c r="D40" s="11" t="s">
        <v>177</v>
      </c>
      <c r="E40" s="11" t="s">
        <v>177</v>
      </c>
      <c r="F40" s="5">
        <v>1</v>
      </c>
      <c r="G40" s="5" t="s">
        <v>180</v>
      </c>
      <c r="H40" s="5" t="s">
        <v>116</v>
      </c>
      <c r="I40" s="5" t="s">
        <v>181</v>
      </c>
      <c r="J40" s="6">
        <f t="shared" si="0"/>
        <v>10</v>
      </c>
      <c r="K40" s="5">
        <v>0.2</v>
      </c>
      <c r="L40" s="5">
        <f t="shared" si="1"/>
        <v>2</v>
      </c>
      <c r="M40" s="7"/>
    </row>
    <row r="41" spans="1:13">
      <c r="A41" s="11" t="s">
        <v>182</v>
      </c>
      <c r="B41" s="11" t="s">
        <v>183</v>
      </c>
      <c r="C41" s="11" t="s">
        <v>184</v>
      </c>
      <c r="D41" s="11" t="s">
        <v>183</v>
      </c>
      <c r="E41" s="11" t="s">
        <v>185</v>
      </c>
      <c r="F41" s="5">
        <v>3</v>
      </c>
      <c r="G41" s="5"/>
      <c r="H41" s="5"/>
      <c r="I41" s="5"/>
      <c r="J41" s="6">
        <f t="shared" si="0"/>
        <v>30</v>
      </c>
      <c r="K41" s="5"/>
      <c r="L41" s="5">
        <f t="shared" si="1"/>
        <v>0</v>
      </c>
    </row>
    <row r="42" spans="1:13">
      <c r="A42" s="11" t="s">
        <v>182</v>
      </c>
      <c r="B42" s="11" t="s">
        <v>183</v>
      </c>
      <c r="C42" s="11" t="s">
        <v>186</v>
      </c>
      <c r="D42" s="11" t="s">
        <v>187</v>
      </c>
      <c r="E42" s="11" t="s">
        <v>185</v>
      </c>
      <c r="F42" s="5">
        <v>1</v>
      </c>
      <c r="G42" s="5"/>
      <c r="H42" s="5"/>
      <c r="I42" s="5"/>
      <c r="J42" s="6">
        <f t="shared" si="0"/>
        <v>10</v>
      </c>
      <c r="K42" s="5"/>
      <c r="L42" s="5">
        <f t="shared" si="1"/>
        <v>0</v>
      </c>
    </row>
    <row r="43" spans="1:13">
      <c r="A43" s="11" t="s">
        <v>188</v>
      </c>
      <c r="B43" s="11" t="s">
        <v>13</v>
      </c>
      <c r="C43" s="11" t="s">
        <v>189</v>
      </c>
      <c r="D43" s="11" t="s">
        <v>190</v>
      </c>
      <c r="E43" s="11" t="s">
        <v>188</v>
      </c>
      <c r="F43" s="5">
        <v>1</v>
      </c>
      <c r="G43" s="11" t="s">
        <v>188</v>
      </c>
      <c r="H43" s="5" t="s">
        <v>191</v>
      </c>
      <c r="I43" s="5" t="s">
        <v>192</v>
      </c>
      <c r="J43" s="6">
        <f t="shared" si="0"/>
        <v>10</v>
      </c>
      <c r="K43" s="5">
        <v>0.6</v>
      </c>
      <c r="L43" s="5">
        <f t="shared" si="1"/>
        <v>6</v>
      </c>
    </row>
    <row r="44" spans="1:13">
      <c r="A44" s="11" t="s">
        <v>193</v>
      </c>
      <c r="B44" s="11" t="s">
        <v>13</v>
      </c>
      <c r="C44" s="11" t="s">
        <v>194</v>
      </c>
      <c r="D44" s="11" t="s">
        <v>195</v>
      </c>
      <c r="E44" s="11" t="s">
        <v>193</v>
      </c>
      <c r="F44" s="5">
        <v>1</v>
      </c>
      <c r="G44" s="11" t="s">
        <v>196</v>
      </c>
      <c r="H44" s="5" t="s">
        <v>197</v>
      </c>
      <c r="I44" s="11" t="s">
        <v>195</v>
      </c>
      <c r="J44" s="6">
        <f t="shared" si="0"/>
        <v>10</v>
      </c>
      <c r="K44" s="5">
        <v>0.3</v>
      </c>
      <c r="L44" s="5">
        <f t="shared" si="1"/>
        <v>3</v>
      </c>
    </row>
    <row r="45" s="2" customFormat="1" spans="1:13">
      <c r="A45" s="11" t="s">
        <v>198</v>
      </c>
      <c r="B45" s="11" t="s">
        <v>13</v>
      </c>
      <c r="C45" s="11" t="s">
        <v>199</v>
      </c>
      <c r="D45" s="11" t="s">
        <v>195</v>
      </c>
      <c r="E45" s="11" t="s">
        <v>193</v>
      </c>
      <c r="F45" s="5">
        <v>1</v>
      </c>
      <c r="G45" s="11" t="s">
        <v>198</v>
      </c>
      <c r="H45" s="5" t="s">
        <v>197</v>
      </c>
      <c r="I45" s="11" t="s">
        <v>195</v>
      </c>
      <c r="J45" s="6">
        <f t="shared" si="0"/>
        <v>10</v>
      </c>
      <c r="K45" s="5">
        <v>0.3</v>
      </c>
      <c r="L45" s="5">
        <f t="shared" si="1"/>
        <v>3</v>
      </c>
    </row>
    <row r="46" spans="1:13">
      <c r="A46" s="11" t="s">
        <v>200</v>
      </c>
      <c r="B46" s="11" t="s">
        <v>13</v>
      </c>
      <c r="C46" s="11" t="s">
        <v>201</v>
      </c>
      <c r="D46" s="11" t="s">
        <v>202</v>
      </c>
      <c r="E46" s="11" t="s">
        <v>203</v>
      </c>
      <c r="F46" s="5">
        <v>1</v>
      </c>
      <c r="G46" s="5" t="s">
        <v>204</v>
      </c>
      <c r="H46" s="5" t="s">
        <v>205</v>
      </c>
      <c r="I46" s="5" t="s">
        <v>206</v>
      </c>
      <c r="J46" s="6">
        <f t="shared" si="0"/>
        <v>10</v>
      </c>
      <c r="K46" s="5">
        <v>5</v>
      </c>
      <c r="L46" s="5">
        <f t="shared" si="1"/>
        <v>50</v>
      </c>
    </row>
    <row r="47" spans="1:13">
      <c r="A47" s="11" t="s">
        <v>207</v>
      </c>
      <c r="B47" s="11" t="s">
        <v>13</v>
      </c>
      <c r="C47" s="11" t="s">
        <v>208</v>
      </c>
      <c r="D47" s="11" t="s">
        <v>209</v>
      </c>
      <c r="E47" s="11" t="s">
        <v>210</v>
      </c>
      <c r="F47" s="5">
        <v>1</v>
      </c>
      <c r="G47" s="5" t="s">
        <v>211</v>
      </c>
      <c r="H47" s="5" t="s">
        <v>212</v>
      </c>
      <c r="I47" s="5" t="s">
        <v>213</v>
      </c>
      <c r="J47" s="6">
        <f t="shared" si="0"/>
        <v>10</v>
      </c>
      <c r="K47" s="5">
        <v>3</v>
      </c>
      <c r="L47" s="5">
        <f t="shared" si="1"/>
        <v>30</v>
      </c>
    </row>
    <row r="48" spans="1:13">
      <c r="A48" s="5" t="s">
        <v>214</v>
      </c>
      <c r="B48" s="5"/>
      <c r="C48" s="5" t="s">
        <v>215</v>
      </c>
      <c r="D48" s="5"/>
      <c r="E48" s="5"/>
      <c r="F48" s="5"/>
      <c r="G48" s="5"/>
      <c r="H48" s="5"/>
      <c r="I48" s="5"/>
      <c r="J48" s="5">
        <v>5</v>
      </c>
      <c r="K48" s="5"/>
      <c r="L48" s="5">
        <v>100</v>
      </c>
    </row>
    <row r="49" spans="1:12">
      <c r="A49" s="5" t="s">
        <v>216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v>120</v>
      </c>
    </row>
    <row r="50" spans="1:12">
      <c r="A50" s="5" t="s">
        <v>217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v>400</v>
      </c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8" t="s">
        <v>218</v>
      </c>
      <c r="L51" s="5">
        <f>SUM(L2:L50)</f>
        <v>1190</v>
      </c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9" t="s">
        <v>219</v>
      </c>
      <c r="L52" s="10" t="s">
        <v>220</v>
      </c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</sheetData>
  <hyperlinks>
    <hyperlink ref="G36" r:id="rId1" display="0603WAJ0152T5E" tooltip="https://item.szlcsc.com/26732.html?fromZone=s_s__%221.5K%200603%22&amp;spm=sc.gbn.xh4.zy.n&amp;lcsc_vid=QlMMUVAAQlMMBVRUFgNYV1xXRFBeAgAARQVWAVIDQlgxVlNQQ1FZV1FfTlZWVDsOAxUeFF5JWBIBSRccGwIdBEoFGAxBAAgJFQACSQwSGg0="/>
  </hyperlink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1row0405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1504816638@qq.com</dc:creator>
  <cp:lastModifiedBy>平行线</cp:lastModifiedBy>
  <dcterms:created xsi:type="dcterms:W3CDTF">2026-01-24T09:34:00Z</dcterms:created>
  <dcterms:modified xsi:type="dcterms:W3CDTF">2026-01-28T09:52:04Z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8BF9DE1C1A4049119715E2D322D43D8A_12</vt:lpwstr>
  </property>
</Properties>
</file>